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7fadb157f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5bd9f7a3bf84387"/>
    <x:sheet xmlns:r="http://schemas.openxmlformats.org/officeDocument/2006/relationships" name="明细" sheetId="2" r:id="R6c8f6344d685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#,##0.00"/>
    <x:numFmt numFmtId="202" formatCode="0.0000"/>
    <x:numFmt numFmtId="203" formatCode="0.000"/>
    <x:numFmt numFmtId="204" formatCode="0.0%"/>
    <x:numFmt numFmtId="205" formatCode="0.00000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2B3A"/>
      <x:name val="Arial"/>
    </x:font>
    <x:font>
      <x:i/>
      <x:sz val="9"/>
      <x:color rgb="FF5F6B76"/>
      <x:name val="Arial"/>
    </x:font>
    <x:font>
      <x:i/>
      <x:sz val="9"/>
      <x:color rgb="FF8A4B08"/>
      <x:name val="Arial"/>
    </x:font>
    <x:font>
      <x:b/>
      <x:sz val="10"/>
      <x:color rgb="FFFFFFFF"/>
      <x:name val="Arial"/>
    </x:font>
    <x:font>
      <x:b/>
      <x:sz val="10"/>
      <x:color rgb="FF172B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B8C4CE"/>
      </x:bottom>
    </x:border>
    <x:border>
      <x:top style="thin">
        <x:color rgb="FFB8C4CE"/>
      </x:top>
      <x:bottom style="thin">
        <x:color rgb="FFB8C4CE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  <x:bottom style="thin">
        <x:color rgb="FFB8C4CE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4" fontId="1" fillId="0" borderId="4" xfId="0" applyNumberFormat="1" applyFont="1" applyFill="1" applyBorder="1" applyAlignment="1">
      <x:alignment vertical="center"/>
    </x:xf>
    <x:xf numFmtId="204" fontId="1" fillId="0" borderId="5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horizontal="right" vertical="center"/>
    </x:xf>
    <x:xf numFmtId="201" fontId="1" fillId="0" borderId="4" xfId="0" applyNumberFormat="1" applyFont="1" applyFill="1" applyBorder="1" applyAlignment="1">
      <x:alignment horizontal="right" vertical="center"/>
    </x:xf>
    <x:xf numFmtId="202" fontId="1" fillId="0" borderId="4" xfId="0" applyNumberFormat="1" applyFont="1" applyFill="1" applyBorder="1" applyAlignment="1">
      <x:alignment horizontal="right" vertical="center"/>
    </x:xf>
    <x:xf numFmtId="203" fontId="1" fillId="0" borderId="4" xfId="0" applyNumberFormat="1" applyFont="1" applyFill="1" applyBorder="1" applyAlignment="1">
      <x:alignment horizontal="right" vertical="center"/>
    </x:xf>
    <x:xf numFmtId="204" fontId="1" fillId="0" borderId="4" xfId="0" applyNumberFormat="1" applyFont="1" applyFill="1" applyBorder="1" applyAlignment="1">
      <x:alignment horizontal="right" vertical="center"/>
    </x:xf>
    <x:xf numFmtId="200" fontId="1" fillId="0" borderId="5" xfId="0" applyNumberFormat="1" applyFont="1" applyFill="1" applyBorder="1" applyAlignment="1">
      <x:alignment horizontal="right" vertical="center"/>
    </x:xf>
    <x:xf numFmtId="201" fontId="1" fillId="0" borderId="5" xfId="0" applyNumberFormat="1" applyFont="1" applyFill="1" applyBorder="1" applyAlignment="1">
      <x:alignment horizontal="right" vertical="center"/>
    </x:xf>
    <x:xf numFmtId="202" fontId="1" fillId="0" borderId="5" xfId="0" applyNumberFormat="1" applyFont="1" applyFill="1" applyBorder="1" applyAlignment="1">
      <x:alignment horizontal="right" vertical="center"/>
    </x:xf>
    <x:xf numFmtId="203" fontId="1" fillId="0" borderId="5" xfId="0" applyNumberFormat="1" applyFont="1" applyFill="1" applyBorder="1" applyAlignment="1">
      <x:alignment horizontal="right" vertical="center"/>
    </x:xf>
    <x:xf numFmtId="204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203" fontId="1" fillId="0" borderId="8" xfId="0" applyNumberFormat="1" applyFont="1" applyFill="1" applyBorder="1" applyAlignment="1">
      <x:alignment vertical="center"/>
    </x:xf>
    <x:xf numFmtId="204" fontId="1" fillId="0" borderId="6" xfId="0" applyNumberFormat="1" applyFont="1" applyFill="1" applyBorder="1" applyAlignment="1">
      <x:alignment vertical="center"/>
    </x:xf>
    <x:xf numFmtId="204" fontId="1" fillId="0" borderId="7" xfId="0" applyNumberFormat="1" applyFont="1" applyFill="1" applyBorder="1" applyAlignment="1">
      <x:alignment vertical="center"/>
    </x:xf>
    <x:xf numFmtId="204" fontId="1" fillId="0" borderId="8" xfId="0" applyNumberFormat="1" applyFont="1" applyFill="1" applyBorder="1" applyAlignment="1">
      <x:alignment vertical="center"/>
    </x:xf>
    <x:xf numFmtId="205" fontId="1" fillId="0" borderId="6" xfId="0" applyNumberFormat="1" applyFont="1" applyFill="1" applyBorder="1" applyAlignment="1">
      <x:alignment vertical="center"/>
    </x:xf>
    <x:xf numFmtId="205" fontId="1" fillId="0" borderId="7" xfId="0" applyNumberFormat="1" applyFont="1" applyFill="1" applyBorder="1" applyAlignment="1">
      <x:alignment vertical="center"/>
    </x:xf>
    <x:xf numFmtId="205" fontId="1" fillId="0" borderId="8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201" fontId="1" fillId="0" borderId="6" xfId="0" applyNumberFormat="1" applyFont="1" applyFill="1" applyBorder="1" applyAlignment="1">
      <x:alignment horizontal="right" vertical="center"/>
    </x:xf>
    <x:xf numFmtId="202" fontId="1" fillId="0" borderId="6" xfId="0" applyNumberFormat="1" applyFont="1" applyFill="1" applyBorder="1" applyAlignment="1">
      <x:alignment horizontal="right" vertical="center"/>
    </x:xf>
    <x:xf numFmtId="203" fontId="1" fillId="0" borderId="6" xfId="0" applyNumberFormat="1" applyFont="1" applyFill="1" applyBorder="1" applyAlignment="1">
      <x:alignment horizontal="right" vertical="center"/>
    </x:xf>
    <x:xf numFmtId="204" fontId="1" fillId="0" borderId="6" xfId="0" applyNumberFormat="1" applyFont="1" applyFill="1" applyBorder="1" applyAlignment="1">
      <x:alignment horizontal="right" vertical="center"/>
    </x:xf>
    <x:xf numFmtId="205" fontId="1" fillId="0" borderId="6" xfId="0" applyNumberFormat="1" applyFont="1" applyFill="1" applyBorder="1" applyAlignment="1">
      <x:alignment horizontal="right" vertical="center"/>
    </x:xf>
    <x:xf numFmtId="200" fontId="1" fillId="0" borderId="6" xfId="0" applyNumberFormat="1" applyFont="1" applyFill="1" applyBorder="1" applyAlignment="1">
      <x:alignment horizontal="right" vertical="center"/>
    </x:xf>
    <x:xf numFmtId="201" fontId="1" fillId="0" borderId="7" xfId="0" applyNumberFormat="1" applyFont="1" applyFill="1" applyBorder="1" applyAlignment="1">
      <x:alignment horizontal="right" vertical="center"/>
    </x:xf>
    <x:xf numFmtId="202" fontId="1" fillId="0" borderId="7" xfId="0" applyNumberFormat="1" applyFont="1" applyFill="1" applyBorder="1" applyAlignment="1">
      <x:alignment horizontal="right" vertical="center"/>
    </x:xf>
    <x:xf numFmtId="203" fontId="1" fillId="0" borderId="7" xfId="0" applyNumberFormat="1" applyFont="1" applyFill="1" applyBorder="1" applyAlignment="1">
      <x:alignment horizontal="right" vertical="center"/>
    </x:xf>
    <x:xf numFmtId="204" fontId="1" fillId="0" borderId="7" xfId="0" applyNumberFormat="1" applyFont="1" applyFill="1" applyBorder="1" applyAlignment="1">
      <x:alignment horizontal="right" vertical="center"/>
    </x:xf>
    <x:xf numFmtId="205" fontId="1" fillId="0" borderId="7" xfId="0" applyNumberFormat="1" applyFont="1" applyFill="1" applyBorder="1" applyAlignment="1">
      <x:alignment horizontal="right" vertical="center"/>
    </x:xf>
    <x:xf numFmtId="200" fontId="1" fillId="0" borderId="7" xfId="0" applyNumberFormat="1" applyFont="1" applyFill="1" applyBorder="1" applyAlignment="1">
      <x:alignment horizontal="right" vertical="center"/>
    </x:xf>
    <x:xf numFmtId="201" fontId="1" fillId="0" borderId="8" xfId="0" applyNumberFormat="1" applyFont="1" applyFill="1" applyBorder="1" applyAlignment="1">
      <x:alignment horizontal="right" vertical="center"/>
    </x:xf>
    <x:xf numFmtId="202" fontId="1" fillId="0" borderId="8" xfId="0" applyNumberFormat="1" applyFont="1" applyFill="1" applyBorder="1" applyAlignment="1">
      <x:alignment horizontal="right" vertical="center"/>
    </x:xf>
    <x:xf numFmtId="203" fontId="1" fillId="0" borderId="8" xfId="0" applyNumberFormat="1" applyFont="1" applyFill="1" applyBorder="1" applyAlignment="1">
      <x:alignment horizontal="right" vertical="center"/>
    </x:xf>
    <x:xf numFmtId="204" fontId="1" fillId="0" borderId="8" xfId="0" applyNumberFormat="1" applyFont="1" applyFill="1" applyBorder="1" applyAlignment="1">
      <x:alignment horizontal="right" vertical="center"/>
    </x:xf>
    <x:xf numFmtId="205" fontId="1" fillId="0" borderId="8" xfId="0" applyNumberFormat="1" applyFont="1" applyFill="1" applyBorder="1" applyAlignment="1">
      <x:alignment horizontal="right" vertical="center"/>
    </x:xf>
    <x:xf numFmtId="200" fontId="1" fillId="0" borderId="8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left" vertical="center"/>
    </x:xf>
    <x:xf numFmtId="0" fontId="1" fillId="0" borderId="7" xfId="0" applyNumberFormat="1" applyFont="1" applyFill="1" applyBorder="1" applyAlignment="1">
      <x:alignment horizontal="left" vertical="center"/>
    </x:xf>
    <x:xf numFmtId="0" fontId="1" fillId="0" borderId="8" xfId="0" applyNumberFormat="1" applyFont="1" applyFill="1" applyBorder="1" applyAlignment="1">
      <x:alignment horizontal="left" vertical="center"/>
    </x:xf>
    <x:xf numFmtId="0" fontId="1" fillId="0" borderId="6" xfId="0" applyNumberFormat="1" applyFont="1" applyFill="1" applyBorder="1" applyAlignment="1">
      <x:alignment horizontal="left" vertical="center" wrapText="0"/>
    </x:xf>
    <x:xf numFmtId="0" fontId="1" fillId="0" borderId="7" xfId="0" applyNumberFormat="1" applyFont="1" applyFill="1" applyBorder="1" applyAlignment="1">
      <x:alignment horizontal="left" vertical="center" wrapText="0"/>
    </x:xf>
    <x:xf numFmtId="0" fontId="1" fillId="0" borderId="8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  <x:dxfs count="2"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ab4b70e2342c8" /><Relationship Type="http://schemas.openxmlformats.org/officeDocument/2006/relationships/theme" Target="/xl/theme/theme1.xml" Id="R8964f65686c04df9" /><Relationship Type="http://schemas.openxmlformats.org/officeDocument/2006/relationships/sharedStrings" Target="/xl/sharedStrings.xml" Id="R8eb6261c5a4648ef" /><Relationship Type="http://schemas.openxmlformats.org/officeDocument/2006/relationships/worksheet" Target="/xl/worksheets/sheet1.xml" Id="R05bd9f7a3bf84387" /><Relationship Type="http://schemas.openxmlformats.org/officeDocument/2006/relationships/worksheet" Target="/xl/worksheets/sheet2.xml" Id="R6c8f6344d68548e9" /></Relationships>
</file>

<file path=xl/tables/table1.xml><?xml version="1.0" encoding="utf-8"?>
<x:table xmlns:x="http://schemas.openxmlformats.org/spreadsheetml/2006/main" id="1" name="AlgorithmOverviewTable" displayName="AlgorithmOverviewTable" ref="A6:M9" headerRowCount="1" totalsRowCount="0" totalsRowShown="0">
  <x:tableColumns count="13">
    <x:tableColumn id="1" name="算法"/>
    <x:tableColumn id="2" name="数据集数"/>
    <x:tableColumn id="3" name="完整通过组合"/>
    <x:tableColumn id="4" name="部分通过组合"/>
    <x:tableColumn id="5" name="PASS 重复数"/>
    <x:tableColumn id="6" name="总重复数"/>
    <x:tableColumn id="7" name="原始总量 (MiB)"/>
    <x:tableColumn id="8" name="压缩后总量 (MiB)"/>
    <x:tableColumn id="9" name="微平均大小比"/>
    <x:tableColumn id="10" name="微平均压缩倍数"/>
    <x:tableColumn id="11" name="总体节省率"/>
    <x:tableColumn id="12" name="微平均编码 (MB/s)"/>
    <x:tableColumn id="13" name="微平均解码 (MB/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ressionDetailTable" displayName="CompressionDetailTable" ref="A6:P45" headerRowCount="1" totalsRowCount="0" totalsRowShown="0">
  <x:tableColumns count="16">
    <x:tableColumn id="1" name="数据集"/>
    <x:tableColumn id="2" name="算法"/>
    <x:tableColumn id="3" name="组合状态"/>
    <x:tableColumn id="4" name="原始大小 (MiB)"/>
    <x:tableColumn id="5" name="压缩后大小 (MiB)"/>
    <x:tableColumn id="6" name="大小比"/>
    <x:tableColumn id="7" name="压缩倍数"/>
    <x:tableColumn id="8" name="节省率"/>
    <x:tableColumn id="9" name="编码 (MB/s)"/>
    <x:tableColumn id="10" name="解码 (MB/s)"/>
    <x:tableColumn id="11" name="编码中位耗时 (s)"/>
    <x:tableColumn id="12" name="解码中位耗时 (s)"/>
    <x:tableColumn id="13" name="PASS 重复数"/>
    <x:tableColumn id="14" name="总重复数"/>
    <x:tableColumn id="15" name="非 PASS 原因"/>
    <x:tableColumn id="16" name="指标口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b8c6bff6914b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55470ba7be4e8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7" hidden="0" customWidth="1"/>
    <x:col min="8" max="8" width="17" hidden="0" customWidth="1"/>
    <x:col min="9" max="9" width="16" hidden="0" customWidth="1"/>
    <x:col min="10" max="10" width="16" hidden="0" customWidth="1"/>
    <x:col min="11" max="11" width="16" hidden="0" customWidth="1"/>
    <x:col min="12" max="12" width="19" hidden="0" customWidth="1"/>
    <x:col min="13" max="13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LZ4、Zstd、Snappy 全数据集压缩指标总览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4" t="str">
        <x:v>来源：runset-20260917T133553Z-47456eafc1bf 的 runs.csv 与 coverage.csv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5" t="str">
        <x:v>总体空间指标覆盖全部 13 个数据集；吞吐率使用各组合 PASS 重复的单次耗时中位数。含 PARTIAL_PASS 的总体值仅作参考。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2" customHeight="1">
      <x:c r="A6" s="14" t="str">
        <x:v>算法</x:v>
      </x:c>
      <x:c r="B6" s="15" t="str">
        <x:v>数据集数</x:v>
      </x:c>
      <x:c r="C6" s="15" t="str">
        <x:v>完整通过组合</x:v>
      </x:c>
      <x:c r="D6" s="15" t="str">
        <x:v>部分通过组合</x:v>
      </x:c>
      <x:c r="E6" s="15" t="str">
        <x:v>PASS 重复数</x:v>
      </x:c>
      <x:c r="F6" s="15" t="str">
        <x:v>总重复数</x:v>
      </x:c>
      <x:c r="G6" s="15" t="str">
        <x:v>原始总量 (MiB)</x:v>
      </x:c>
      <x:c r="H6" s="15" t="str">
        <x:v>压缩后总量 (MiB)</x:v>
      </x:c>
      <x:c r="I6" s="15" t="str">
        <x:v>微平均大小比</x:v>
      </x:c>
      <x:c r="J6" s="15" t="str">
        <x:v>微平均压缩倍数</x:v>
      </x:c>
      <x:c r="K6" s="15" t="str">
        <x:v>总体节省率</x:v>
      </x:c>
      <x:c r="L6" s="15" t="str">
        <x:v>微平均编码 (MB/s)</x:v>
      </x:c>
      <x:c r="M6" s="16" t="str">
        <x:v>微平均解码 (MB/s)</x:v>
      </x:c>
      <x:c r="N6" s="2"/>
      <x:c r="O6" s="2"/>
      <x:c r="P6" s="2"/>
    </x:row>
    <x:row r="7" ht="22" customHeight="1">
      <x:c r="A7" s="19" t="str">
        <x:v>lz4-frame</x:v>
      </x:c>
      <x:c r="B7" s="31" t="n">
        <x:f>COUNTIFS('明细'!$B$7:$B$45,$A7)</x:f>
        <x:v>13</x:v>
      </x:c>
      <x:c r="C7" s="31" t="n">
        <x:f>COUNTIFS('明细'!$B$7:$B$45,$A7,'明细'!$C$7:$C$45,"PASS")</x:f>
        <x:v>9</x:v>
      </x:c>
      <x:c r="D7" s="31" t="n">
        <x:f>COUNTIFS('明细'!$B$7:$B$45,$A7,'明细'!$C$7:$C$45,"PARTIAL_PASS")</x:f>
        <x:v>4</x:v>
      </x:c>
      <x:c r="E7" s="31" t="n">
        <x:f>SUMIFS('明细'!$M$7:$M$45,'明细'!$B$7:$B$45,$A7)</x:f>
        <x:v>122</x:v>
      </x:c>
      <x:c r="F7" s="31" t="n">
        <x:f>SUMIFS('明细'!$N$7:$N$45,'明细'!$B$7:$B$45,$A7)</x:f>
        <x:v>130</x:v>
      </x:c>
      <x:c r="G7" s="32" t="n">
        <x:f>SUMIFS('明细'!$D$7:$D$45,'明细'!$B$7:$B$45,$A7)</x:f>
        <x:v>648.6544952392578</x:v>
      </x:c>
      <x:c r="H7" s="32" t="n">
        <x:f>SUMIFS('明细'!$E$7:$E$45,'明细'!$B$7:$B$45,$A7)</x:f>
        <x:v>265.82896518707275</x:v>
      </x:c>
      <x:c r="I7" s="33" t="n">
        <x:f>H7/G7</x:f>
        <x:v>0.40981596078975924</x:v>
      </x:c>
      <x:c r="J7" s="34" t="n">
        <x:f>G7/H7</x:f>
        <x:v>2.4401197017141376</x:v>
      </x:c>
      <x:c r="K7" s="35" t="n">
        <x:f>1-I7</x:f>
        <x:v>0.5901840392102408</x:v>
      </x:c>
      <x:c r="L7" s="32" t="n">
        <x:f>G7*1.048576/SUMIFS('明细'!$K$7:$K$45,'明细'!$B$7:$B$45,$A7)</x:f>
        <x:v>123.63297130633777</x:v>
      </x:c>
      <x:c r="M7" s="32" t="n">
        <x:f>G7*1.048576/SUMIFS('明细'!$L$7:$L$45,'明细'!$B$7:$B$45,$A7)</x:f>
        <x:v>960.088168635595</x:v>
      </x:c>
      <x:c r="N7" s="2"/>
      <x:c r="O7" s="2"/>
      <x:c r="P7" s="2"/>
    </x:row>
    <x:row r="8" ht="22" customHeight="1">
      <x:c r="A8" s="20" t="str">
        <x:v>zstd-frame</x:v>
      </x:c>
      <x:c r="B8" s="36" t="n">
        <x:f>COUNTIFS('明细'!$B$7:$B$45,$A8)</x:f>
        <x:v>13</x:v>
      </x:c>
      <x:c r="C8" s="36" t="n">
        <x:f>COUNTIFS('明细'!$B$7:$B$45,$A8,'明细'!$C$7:$C$45,"PASS")</x:f>
        <x:v>11</x:v>
      </x:c>
      <x:c r="D8" s="36" t="n">
        <x:f>COUNTIFS('明细'!$B$7:$B$45,$A8,'明细'!$C$7:$C$45,"PARTIAL_PASS")</x:f>
        <x:v>2</x:v>
      </x:c>
      <x:c r="E8" s="36" t="n">
        <x:f>SUMIFS('明细'!$M$7:$M$45,'明细'!$B$7:$B$45,$A8)</x:f>
        <x:v>121</x:v>
      </x:c>
      <x:c r="F8" s="36" t="n">
        <x:f>SUMIFS('明细'!$N$7:$N$45,'明细'!$B$7:$B$45,$A8)</x:f>
        <x:v>130</x:v>
      </x:c>
      <x:c r="G8" s="37" t="n">
        <x:f>SUMIFS('明细'!$D$7:$D$45,'明细'!$B$7:$B$45,$A8)</x:f>
        <x:v>648.6544952392578</x:v>
      </x:c>
      <x:c r="H8" s="37" t="n">
        <x:f>SUMIFS('明细'!$E$7:$E$45,'明细'!$B$7:$B$45,$A8)</x:f>
        <x:v>150.1535243988037</x:v>
      </x:c>
      <x:c r="I8" s="38" t="n">
        <x:f>H8/G8</x:f>
        <x:v>0.23148459696316329</x:v>
      </x:c>
      <x:c r="J8" s="39" t="n">
        <x:f>G8/H8</x:f>
        <x:v>4.319941858417182</x:v>
      </x:c>
      <x:c r="K8" s="40" t="n">
        <x:f>1-I8</x:f>
        <x:v>0.7685154030368367</x:v>
      </x:c>
      <x:c r="L8" s="37" t="n">
        <x:f>G8*1.048576/SUMIFS('明细'!$K$7:$K$45,'明细'!$B$7:$B$45,$A8)</x:f>
        <x:v>111.7884995530317</x:v>
      </x:c>
      <x:c r="M8" s="37" t="n">
        <x:f>G8*1.048576/SUMIFS('明细'!$L$7:$L$45,'明细'!$B$7:$B$45,$A8)</x:f>
        <x:v>662.76957102227</x:v>
      </x:c>
      <x:c r="N8" s="2"/>
      <x:c r="O8" s="2"/>
      <x:c r="P8" s="2"/>
    </x:row>
    <x:row r="9" ht="22" customHeight="1">
      <x:c r="A9" s="20" t="str">
        <x:v>snappy-raw</x:v>
      </x:c>
      <x:c r="B9" s="36" t="n">
        <x:f>COUNTIFS('明细'!$B$7:$B$45,$A9)</x:f>
        <x:v>13</x:v>
      </x:c>
      <x:c r="C9" s="36" t="n">
        <x:f>COUNTIFS('明细'!$B$7:$B$45,$A9,'明细'!$C$7:$C$45,"PASS")</x:f>
        <x:v>9</x:v>
      </x:c>
      <x:c r="D9" s="36" t="n">
        <x:f>COUNTIFS('明细'!$B$7:$B$45,$A9,'明细'!$C$7:$C$45,"PARTIAL_PASS")</x:f>
        <x:v>4</x:v>
      </x:c>
      <x:c r="E9" s="36" t="n">
        <x:f>SUMIFS('明细'!$M$7:$M$45,'明细'!$B$7:$B$45,$A9)</x:f>
        <x:v>119</x:v>
      </x:c>
      <x:c r="F9" s="36" t="n">
        <x:f>SUMIFS('明细'!$N$7:$N$45,'明细'!$B$7:$B$45,$A9)</x:f>
        <x:v>130</x:v>
      </x:c>
      <x:c r="G9" s="37" t="n">
        <x:f>SUMIFS('明细'!$D$7:$D$45,'明细'!$B$7:$B$45,$A9)</x:f>
        <x:v>648.6544952392578</x:v>
      </x:c>
      <x:c r="H9" s="37" t="n">
        <x:f>SUMIFS('明细'!$E$7:$E$45,'明细'!$B$7:$B$45,$A9)</x:f>
        <x:v>243.44841480255127</x:v>
      </x:c>
      <x:c r="I9" s="38" t="n">
        <x:f>H9/G9</x:f>
        <x:v>0.37531292327320526</x:v>
      </x:c>
      <x:c r="J9" s="39" t="n">
        <x:f>G9/H9</x:f>
        <x:v>2.664443289825275</x:v>
      </x:c>
      <x:c r="K9" s="40" t="n">
        <x:f>1-I9</x:f>
        <x:v>0.6246870767267947</x:v>
      </x:c>
      <x:c r="L9" s="37" t="n">
        <x:f>G9*1.048576/SUMIFS('明细'!$K$7:$K$45,'明细'!$B$7:$B$45,$A9)</x:f>
        <x:v>26.210767971212352</x:v>
      </x:c>
      <x:c r="M9" s="37" t="n">
        <x:f>G9*1.048576/SUMIFS('明细'!$L$7:$L$45,'明细'!$B$7:$B$45,$A9)</x:f>
        <x:v>436.0180738683836</x:v>
      </x:c>
      <x:c r="N9" s="2"/>
      <x:c r="O9" s="2"/>
      <x:c r="P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A11" s="4" t="str">
        <x:v>定义：大小比 = 最终压缩位数 / 规范原始位数；压缩倍数 = 规范原始位数 / 最终压缩位数；MB/s 使用十进制 MB。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</x:sheetData>
  <x:mergeCells>
    <x:mergeCell ref="A2:M2"/>
    <x:mergeCell ref="A3:M3"/>
    <x:mergeCell ref="A4:M4"/>
    <x:mergeCell ref="A11:M11"/>
  </x:mergeCells>
  <x:pageMargins left="0.7" right="0.7" top="0.75" bottom="0.75" header="0.3" footer="0.3"/>
  <x:tableParts count="1">
    <x:tablePart xmlns:r="http://schemas.openxmlformats.org/officeDocument/2006/relationships" r:id="R5cb8c6bff6914b91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9" hidden="0" customWidth="1"/>
    <x:col min="12" max="12" width="19" hidden="0" customWidth="1"/>
    <x:col min="13" max="13" width="13" hidden="0" customWidth="1"/>
    <x:col min="14" max="14" width="13" hidden="0" customWidth="1"/>
    <x:col min="15" max="15" width="25" hidden="0" customWidth="1"/>
    <x:col min="16" max="16" width="3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每个数据集与算法的压缩基础指标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4" t="str">
        <x:v>空间指标取同一组合的一致 FinalBits；吞吐率以 PASS 重复的单次耗时中位数计算。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2" customHeight="1">
      <x:c r="A6" s="14" t="str">
        <x:v>数据集</x:v>
      </x:c>
      <x:c r="B6" s="15" t="str">
        <x:v>算法</x:v>
      </x:c>
      <x:c r="C6" s="15" t="str">
        <x:v>组合状态</x:v>
      </x:c>
      <x:c r="D6" s="15" t="str">
        <x:v>原始大小 (MiB)</x:v>
      </x:c>
      <x:c r="E6" s="15" t="str">
        <x:v>压缩后大小 (MiB)</x:v>
      </x:c>
      <x:c r="F6" s="15" t="str">
        <x:v>大小比</x:v>
      </x:c>
      <x:c r="G6" s="15" t="str">
        <x:v>压缩倍数</x:v>
      </x:c>
      <x:c r="H6" s="15" t="str">
        <x:v>节省率</x:v>
      </x:c>
      <x:c r="I6" s="15" t="str">
        <x:v>编码 (MB/s)</x:v>
      </x:c>
      <x:c r="J6" s="15" t="str">
        <x:v>解码 (MB/s)</x:v>
      </x:c>
      <x:c r="K6" s="15" t="str">
        <x:v>编码中位耗时 (s)</x:v>
      </x:c>
      <x:c r="L6" s="15" t="str">
        <x:v>解码中位耗时 (s)</x:v>
      </x:c>
      <x:c r="M6" s="15" t="str">
        <x:v>PASS 重复数</x:v>
      </x:c>
      <x:c r="N6" s="15" t="str">
        <x:v>总重复数</x:v>
      </x:c>
      <x:c r="O6" s="15" t="str">
        <x:v>非 PASS 原因</x:v>
      </x:c>
      <x:c r="P6" s="16" t="str">
        <x:v>指标口径</x:v>
      </x:c>
    </x:row>
    <x:row r="7" ht="20" customHeight="1">
      <x:c r="A7" s="83" t="str">
        <x:v>electricity</x:v>
      </x:c>
      <x:c r="B7" s="83" t="str">
        <x:v>lz4-frame</x:v>
      </x:c>
      <x:c r="C7" s="83" t="str">
        <x:v>PASS</x:v>
      </x:c>
      <x:c r="D7" s="65" t="n">
        <x:v>64.41943359375</x:v>
      </x:c>
      <x:c r="E7" s="65" t="n">
        <x:v>24.789901733398438</x:v>
      </x:c>
      <x:c r="F7" s="66" t="n">
        <x:v>0.3848202374726183</x:v>
      </x:c>
      <x:c r="G7" s="67" t="n">
        <x:v>2.5986159318639124</x:v>
      </x:c>
      <x:c r="H7" s="68" t="n">
        <x:v>0.6151797625273817</x:v>
      </x:c>
      <x:c r="I7" s="65" t="n">
        <x:v>169.69189347394646</x:v>
      </x:c>
      <x:c r="J7" s="65" t="n">
        <x:v>1034.7312389779202</x:v>
      </x:c>
      <x:c r="K7" s="69" t="n">
        <x:v>0.3980665818333333</x:v>
      </x:c>
      <x:c r="L7" s="69" t="n">
        <x:v>0.06528136916666667</x:v>
      </x:c>
      <x:c r="M7" s="70" t="n">
        <x:v>10</x:v>
      </x:c>
      <x:c r="N7" s="70" t="n">
        <x:v>10</x:v>
      </x:c>
      <x:c r="O7" s="86" t="str"/>
      <x:c r="P7" s="86" t="str">
        <x:v>正式：10/10 PASS</x:v>
      </x:c>
    </x:row>
    <x:row r="8" ht="20" customHeight="1">
      <x:c r="A8" s="84" t="str">
        <x:v>electricity</x:v>
      </x:c>
      <x:c r="B8" s="84" t="str">
        <x:v>zstd-frame</x:v>
      </x:c>
      <x:c r="C8" s="84" t="str">
        <x:v>PASS</x:v>
      </x:c>
      <x:c r="D8" s="71" t="n">
        <x:v>64.41943359375</x:v>
      </x:c>
      <x:c r="E8" s="71" t="n">
        <x:v>12.70472526550293</x:v>
      </x:c>
      <x:c r="F8" s="72" t="n">
        <x:v>0.1972188291133244</x:v>
      </x:c>
      <x:c r="G8" s="73" t="n">
        <x:v>5.070509770775424</x:v>
      </x:c>
      <x:c r="H8" s="74" t="n">
        <x:v>0.8027811708866757</x:v>
      </x:c>
      <x:c r="I8" s="71" t="n">
        <x:v>141.69092525575783</x:v>
      </x:c>
      <x:c r="J8" s="71" t="n">
        <x:v>640.7641010275956</x:v>
      </x:c>
      <x:c r="K8" s="75" t="n">
        <x:v>0.47673252099999996</x:v>
      </x:c>
      <x:c r="L8" s="75" t="n">
        <x:v>0.1054189395</x:v>
      </x:c>
      <x:c r="M8" s="76" t="n">
        <x:v>10</x:v>
      </x:c>
      <x:c r="N8" s="76" t="n">
        <x:v>10</x:v>
      </x:c>
      <x:c r="O8" s="87" t="str"/>
      <x:c r="P8" s="87" t="str">
        <x:v>正式：10/10 PASS</x:v>
      </x:c>
    </x:row>
    <x:row r="9" ht="20" customHeight="1">
      <x:c r="A9" s="84" t="str">
        <x:v>electricity</x:v>
      </x:c>
      <x:c r="B9" s="84" t="str">
        <x:v>snappy-raw</x:v>
      </x:c>
      <x:c r="C9" s="84" t="str">
        <x:v>PASS</x:v>
      </x:c>
      <x:c r="D9" s="71" t="n">
        <x:v>64.41943359375</x:v>
      </x:c>
      <x:c r="E9" s="71" t="n">
        <x:v>21.271199226379395</x:v>
      </x:c>
      <x:c r="F9" s="72" t="n">
        <x:v>0.3301984826585488</x:v>
      </x:c>
      <x:c r="G9" s="73" t="n">
        <x:v>3.0284815119337742</x:v>
      </x:c>
      <x:c r="H9" s="74" t="n">
        <x:v>0.6698015173414512</x:v>
      </x:c>
      <x:c r="I9" s="71" t="n">
        <x:v>28.87413200472771</x:v>
      </x:c>
      <x:c r="J9" s="71" t="n">
        <x:v>468.66715154376215</x:v>
      </x:c>
      <x:c r="K9" s="75" t="n">
        <x:v>2.339418272</x:v>
      </x:c>
      <x:c r="L9" s="75" t="n">
        <x:v>0.1441293075</x:v>
      </x:c>
      <x:c r="M9" s="76" t="n">
        <x:v>10</x:v>
      </x:c>
      <x:c r="N9" s="76" t="n">
        <x:v>10</x:v>
      </x:c>
      <x:c r="O9" s="87" t="str"/>
      <x:c r="P9" s="87" t="str">
        <x:v>正式：10/10 PASS</x:v>
      </x:c>
    </x:row>
    <x:row r="10" ht="20" customHeight="1">
      <x:c r="A10" s="84" t="str">
        <x:v>etth1</x:v>
      </x:c>
      <x:c r="B10" s="84" t="str">
        <x:v>lz4-frame</x:v>
      </x:c>
      <x:c r="C10" s="84" t="str">
        <x:v>PASS</x:v>
      </x:c>
      <x:c r="D10" s="71" t="n">
        <x:v>0.930328369140625</x:v>
      </x:c>
      <x:c r="E10" s="71" t="n">
        <x:v>0.43926143646240234</x:v>
      </x:c>
      <x:c r="F10" s="72" t="n">
        <x:v>0.4721574134820403</x:v>
      </x:c>
      <x:c r="G10" s="73" t="n">
        <x:v>2.117937728913871</x:v>
      </x:c>
      <x:c r="H10" s="74" t="n">
        <x:v>0.5278425865179597</x:v>
      </x:c>
      <x:c r="I10" s="71" t="n">
        <x:v>173.0685695384567</x:v>
      </x:c>
      <x:c r="J10" s="71" t="n">
        <x:v>1511.1962601409061</x:v>
      </x:c>
      <x:c r="K10" s="75" t="n">
        <x:v>0.005636609828125</x:v>
      </x:c>
      <x:c r="L10" s="75" t="n">
        <x:v>0.00064552833125</x:v>
      </x:c>
      <x:c r="M10" s="76" t="n">
        <x:v>10</x:v>
      </x:c>
      <x:c r="N10" s="76" t="n">
        <x:v>10</x:v>
      </x:c>
      <x:c r="O10" s="87" t="str"/>
      <x:c r="P10" s="87" t="str">
        <x:v>正式：10/10 PASS</x:v>
      </x:c>
    </x:row>
    <x:row r="11" ht="20" customHeight="1">
      <x:c r="A11" s="84" t="str">
        <x:v>etth1</x:v>
      </x:c>
      <x:c r="B11" s="84" t="str">
        <x:v>zstd-frame</x:v>
      </x:c>
      <x:c r="C11" s="84" t="str">
        <x:v>PASS</x:v>
      </x:c>
      <x:c r="D11" s="71" t="n">
        <x:v>0.930328369140625</x:v>
      </x:c>
      <x:c r="E11" s="71" t="n">
        <x:v>0.2275524139404297</x:v>
      </x:c>
      <x:c r="F11" s="72" t="n">
        <x:v>0.24459365261604069</x:v>
      </x:c>
      <x:c r="G11" s="73" t="n">
        <x:v>4.088413535284109</x:v>
      </x:c>
      <x:c r="H11" s="74" t="n">
        <x:v>0.7554063473839593</x:v>
      </x:c>
      <x:c r="I11" s="71" t="n">
        <x:v>146.53410618394508</x:v>
      </x:c>
      <x:c r="J11" s="71" t="n">
        <x:v>871.3681144759499</x:v>
      </x:c>
      <x:c r="K11" s="75" t="n">
        <x:v>0.00665728972868217</x:v>
      </x:c>
      <x:c r="L11" s="75" t="n">
        <x:v>0.0011195268495527728</x:v>
      </x:c>
      <x:c r="M11" s="76" t="n">
        <x:v>10</x:v>
      </x:c>
      <x:c r="N11" s="76" t="n">
        <x:v>10</x:v>
      </x:c>
      <x:c r="O11" s="87" t="str"/>
      <x:c r="P11" s="87" t="str">
        <x:v>正式：10/10 PASS</x:v>
      </x:c>
    </x:row>
    <x:row r="12" ht="20" customHeight="1">
      <x:c r="A12" s="84" t="str">
        <x:v>etth1</x:v>
      </x:c>
      <x:c r="B12" s="84" t="str">
        <x:v>snappy-raw</x:v>
      </x:c>
      <x:c r="C12" s="84" t="str">
        <x:v>PASS</x:v>
      </x:c>
      <x:c r="D12" s="71" t="n">
        <x:v>0.930328369140625</x:v>
      </x:c>
      <x:c r="E12" s="71" t="n">
        <x:v>0.34181880950927734</x:v>
      </x:c>
      <x:c r="F12" s="72" t="n">
        <x:v>0.36741737739872066</x:v>
      </x:c>
      <x:c r="G12" s="73" t="n">
        <x:v>2.7217003373109425</x:v>
      </x:c>
      <x:c r="H12" s="74" t="n">
        <x:v>0.6325826226012794</x:v>
      </x:c>
      <x:c r="I12" s="71" t="n">
        <x:v>26.10092552742818</x:v>
      </x:c>
      <x:c r="J12" s="71" t="n">
        <x:v>534.5001802950179</x:v>
      </x:c>
      <x:c r="K12" s="75" t="n">
        <x:v>0.03737491986538462</x:v>
      </x:c>
      <x:c r="L12" s="75" t="n">
        <x:v>0.0018251069615384614</x:v>
      </x:c>
      <x:c r="M12" s="76" t="n">
        <x:v>10</x:v>
      </x:c>
      <x:c r="N12" s="76" t="n">
        <x:v>10</x:v>
      </x:c>
      <x:c r="O12" s="87" t="str"/>
      <x:c r="P12" s="87" t="str">
        <x:v>正式：10/10 PASS</x:v>
      </x:c>
    </x:row>
    <x:row r="13" ht="20" customHeight="1">
      <x:c r="A13" s="84" t="str">
        <x:v>etth2</x:v>
      </x:c>
      <x:c r="B13" s="84" t="str">
        <x:v>lz4-frame</x:v>
      </x:c>
      <x:c r="C13" s="84" t="str">
        <x:v>PASS</x:v>
      </x:c>
      <x:c r="D13" s="71" t="n">
        <x:v>0.930328369140625</x:v>
      </x:c>
      <x:c r="E13" s="71" t="n">
        <x:v>0.3875770568847656</x:v>
      </x:c>
      <x:c r="F13" s="72" t="n">
        <x:v>0.41660242742332293</x:v>
      </x:c>
      <x:c r="G13" s="73" t="n">
        <x:v>2.400370075097686</x:v>
      </x:c>
      <x:c r="H13" s="74" t="n">
        <x:v>0.5833975725766771</x:v>
      </x:c>
      <x:c r="I13" s="71" t="n">
        <x:v>174.17738659394513</x:v>
      </x:c>
      <x:c r="J13" s="71" t="n">
        <x:v>1547.7284655309534</x:v>
      </x:c>
      <x:c r="K13" s="75" t="n">
        <x:v>0.005600727046583851</x:v>
      </x:c>
      <x:c r="L13" s="75" t="n">
        <x:v>0.0006302914378881987</x:v>
      </x:c>
      <x:c r="M13" s="76" t="n">
        <x:v>10</x:v>
      </x:c>
      <x:c r="N13" s="76" t="n">
        <x:v>10</x:v>
      </x:c>
      <x:c r="O13" s="87" t="str"/>
      <x:c r="P13" s="87" t="str">
        <x:v>正式：10/10 PASS</x:v>
      </x:c>
    </x:row>
    <x:row r="14" ht="20" customHeight="1">
      <x:c r="A14" s="84" t="str">
        <x:v>etth2</x:v>
      </x:c>
      <x:c r="B14" s="84" t="str">
        <x:v>zstd-frame</x:v>
      </x:c>
      <x:c r="C14" s="84" t="str">
        <x:v>PASS</x:v>
      </x:c>
      <x:c r="D14" s="71" t="n">
        <x:v>0.930328369140625</x:v>
      </x:c>
      <x:c r="E14" s="71" t="n">
        <x:v>0.2299795150756836</x:v>
      </x:c>
      <x:c r="F14" s="72" t="n">
        <x:v>0.2472025176316221</x:v>
      </x:c>
      <x:c r="G14" s="73" t="n">
        <x:v>4.04526624397162</x:v>
      </x:c>
      <x:c r="H14" s="74" t="n">
        <x:v>0.7527974823683778</x:v>
      </x:c>
      <x:c r="I14" s="71" t="n">
        <x:v>147.77427759689405</x:v>
      </x:c>
      <x:c r="J14" s="71" t="n">
        <x:v>856.773250749152</x:v>
      </x:c>
      <x:c r="K14" s="75" t="n">
        <x:v>0.006601419515384616</x:v>
      </x:c>
      <x:c r="L14" s="75" t="n">
        <x:v>0.0011385976384615385</x:v>
      </x:c>
      <x:c r="M14" s="76" t="n">
        <x:v>10</x:v>
      </x:c>
      <x:c r="N14" s="76" t="n">
        <x:v>10</x:v>
      </x:c>
      <x:c r="O14" s="87" t="str"/>
      <x:c r="P14" s="87" t="str">
        <x:v>正式：10/10 PASS</x:v>
      </x:c>
    </x:row>
    <x:row r="15" ht="20" customHeight="1">
      <x:c r="A15" s="84" t="str">
        <x:v>etth2</x:v>
      </x:c>
      <x:c r="B15" s="84" t="str">
        <x:v>snappy-raw</x:v>
      </x:c>
      <x:c r="C15" s="84" t="str">
        <x:v>PARTIAL_PASS</x:v>
      </x:c>
      <x:c r="D15" s="71" t="n">
        <x:v>0.930328369140625</x:v>
      </x:c>
      <x:c r="E15" s="71" t="n">
        <x:v>0.32831382751464844</x:v>
      </x:c>
      <x:c r="F15" s="72" t="n">
        <x:v>0.3529010168935542</x:v>
      </x:c>
      <x:c r="G15" s="73" t="n">
        <x:v>2.8336557621811296</x:v>
      </x:c>
      <x:c r="H15" s="74" t="n">
        <x:v>0.6470989831064458</x:v>
      </x:c>
      <x:c r="I15" s="71" t="n">
        <x:v>28.421408032366205</x:v>
      </x:c>
      <x:c r="J15" s="71" t="n">
        <x:v>511.6870051868083</x:v>
      </x:c>
      <x:c r="K15" s="75" t="n">
        <x:v>0.03432342264285714</x:v>
      </x:c>
      <x:c r="L15" s="75" t="n">
        <x:v>0.0019064779642857144</x:v>
      </x:c>
      <x:c r="M15" s="76" t="n">
        <x:v>9</x:v>
      </x:c>
      <x:c r="N15" s="76" t="n">
        <x:v>10</x:v>
      </x:c>
      <x:c r="O15" s="87" t="str">
        <x:v>RESOURCE_PRESSURE x1</x:v>
      </x:c>
      <x:c r="P15" s="87" t="str">
        <x:v>参考：速度仅基于 PASS 重复，未进入正式汇总</x:v>
      </x:c>
    </x:row>
    <x:row r="16" ht="20" customHeight="1">
      <x:c r="A16" s="84" t="str">
        <x:v>ettm1</x:v>
      </x:c>
      <x:c r="B16" s="84" t="str">
        <x:v>lz4-frame</x:v>
      </x:c>
      <x:c r="C16" s="84" t="str">
        <x:v>PASS</x:v>
      </x:c>
      <x:c r="D16" s="71" t="n">
        <x:v>3.7213134765625</x:v>
      </x:c>
      <x:c r="E16" s="71" t="n">
        <x:v>1.6357851028442383</x:v>
      </x:c>
      <x:c r="F16" s="72" t="n">
        <x:v>0.43957197187141217</x:v>
      </x:c>
      <x:c r="G16" s="73" t="n">
        <x:v>2.2749403146489278</x:v>
      </x:c>
      <x:c r="H16" s="74" t="n">
        <x:v>0.5604280281285878</x:v>
      </x:c>
      <x:c r="I16" s="71" t="n">
        <x:v>177.72894343326575</x:v>
      </x:c>
      <x:c r="J16" s="71" t="n">
        <x:v>1717.4530539550722</x:v>
      </x:c>
      <x:c r="K16" s="75" t="n">
        <x:v>0.021955230952380955</x:v>
      </x:c>
      <x:c r="L16" s="75" t="n">
        <x:v>0.002272015523809524</x:v>
      </x:c>
      <x:c r="M16" s="76" t="n">
        <x:v>10</x:v>
      </x:c>
      <x:c r="N16" s="76" t="n">
        <x:v>10</x:v>
      </x:c>
      <x:c r="O16" s="87" t="str"/>
      <x:c r="P16" s="87" t="str">
        <x:v>正式：10/10 PASS</x:v>
      </x:c>
    </x:row>
    <x:row r="17" ht="20" customHeight="1">
      <x:c r="A17" s="84" t="str">
        <x:v>ettm1</x:v>
      </x:c>
      <x:c r="B17" s="84" t="str">
        <x:v>zstd-frame</x:v>
      </x:c>
      <x:c r="C17" s="84" t="str">
        <x:v>PASS</x:v>
      </x:c>
      <x:c r="D17" s="71" t="n">
        <x:v>3.7213134765625</x:v>
      </x:c>
      <x:c r="E17" s="71" t="n">
        <x:v>0.8060426712036133</x:v>
      </x:c>
      <x:c r="F17" s="72" t="n">
        <x:v>0.21660165860259145</x:v>
      </x:c>
      <x:c r="G17" s="73" t="n">
        <x:v>4.616769818160736</x:v>
      </x:c>
      <x:c r="H17" s="74" t="n">
        <x:v>0.7833983413974086</x:v>
      </x:c>
      <x:c r="I17" s="71" t="n">
        <x:v>153.29855492492325</x:v>
      </x:c>
      <x:c r="J17" s="71" t="n">
        <x:v>964.5749078296418</x:v>
      </x:c>
      <x:c r="K17" s="75" t="n">
        <x:v>0.025454121220588235</x:v>
      </x:c>
      <x:c r="L17" s="75" t="n">
        <x:v>0.004045388251680672</x:v>
      </x:c>
      <x:c r="M17" s="76" t="n">
        <x:v>10</x:v>
      </x:c>
      <x:c r="N17" s="76" t="n">
        <x:v>10</x:v>
      </x:c>
      <x:c r="O17" s="87" t="str"/>
      <x:c r="P17" s="87" t="str">
        <x:v>正式：10/10 PASS</x:v>
      </x:c>
    </x:row>
    <x:row r="18" ht="20" customHeight="1">
      <x:c r="A18" s="84" t="str">
        <x:v>ettm1</x:v>
      </x:c>
      <x:c r="B18" s="84" t="str">
        <x:v>snappy-raw</x:v>
      </x:c>
      <x:c r="C18" s="84" t="str">
        <x:v>PARTIAL_PASS</x:v>
      </x:c>
      <x:c r="D18" s="71" t="n">
        <x:v>3.7213134765625</x:v>
      </x:c>
      <x:c r="E18" s="71" t="n">
        <x:v>1.27215576171875</x:v>
      </x:c>
      <x:c r="F18" s="72" t="n">
        <x:v>0.3418566508118747</x:v>
      </x:c>
      <x:c r="G18" s="73" t="n">
        <x:v>2.9252027059444417</x:v>
      </x:c>
      <x:c r="H18" s="74" t="n">
        <x:v>0.6581433491881252</x:v>
      </x:c>
      <x:c r="I18" s="71" t="n">
        <x:v>27.757056330324517</x:v>
      </x:c>
      <x:c r="J18" s="71" t="n">
        <x:v>620.3579855962433</x:v>
      </x:c>
      <x:c r="K18" s="75" t="n">
        <x:v>0.14057974857142858</x:v>
      </x:c>
      <x:c r="L18" s="75" t="n">
        <x:v>0.006290045571428572</x:v>
      </x:c>
      <x:c r="M18" s="76" t="n">
        <x:v>9</x:v>
      </x:c>
      <x:c r="N18" s="76" t="n">
        <x:v>10</x:v>
      </x:c>
      <x:c r="O18" s="87" t="str">
        <x:v>RESOURCE_PRESSURE x1</x:v>
      </x:c>
      <x:c r="P18" s="87" t="str">
        <x:v>参考：速度仅基于 PASS 重复，未进入正式汇总</x:v>
      </x:c>
    </x:row>
    <x:row r="19" ht="20" customHeight="1">
      <x:c r="A19" s="84" t="str">
        <x:v>ettm2</x:v>
      </x:c>
      <x:c r="B19" s="84" t="str">
        <x:v>lz4-frame</x:v>
      </x:c>
      <x:c r="C19" s="84" t="str">
        <x:v>PASS</x:v>
      </x:c>
      <x:c r="D19" s="71" t="n">
        <x:v>3.7213134765625</x:v>
      </x:c>
      <x:c r="E19" s="71" t="n">
        <x:v>1.3233489990234375</x:v>
      </x:c>
      <x:c r="F19" s="72" t="n">
        <x:v>0.35561341643431194</x:v>
      </x:c>
      <x:c r="G19" s="73" t="n">
        <x:v>2.8120423858775236</x:v>
      </x:c>
      <x:c r="H19" s="74" t="n">
        <x:v>0.6443865835656881</x:v>
      </x:c>
      <x:c r="I19" s="71" t="n">
        <x:v>184.45039109403967</x:v>
      </x:c>
      <x:c r="J19" s="71" t="n">
        <x:v>1772.823371360586</x:v>
      </x:c>
      <x:c r="K19" s="75" t="n">
        <x:v>0.021155173360465115</x:v>
      </x:c>
      <x:c r="L19" s="75" t="n">
        <x:v>0.0022010540153276957</x:v>
      </x:c>
      <x:c r="M19" s="76" t="n">
        <x:v>10</x:v>
      </x:c>
      <x:c r="N19" s="76" t="n">
        <x:v>10</x:v>
      </x:c>
      <x:c r="O19" s="87" t="str"/>
      <x:c r="P19" s="87" t="str">
        <x:v>正式：10/10 PASS</x:v>
      </x:c>
    </x:row>
    <x:row r="20" ht="20" customHeight="1">
      <x:c r="A20" s="84" t="str">
        <x:v>ettm2</x:v>
      </x:c>
      <x:c r="B20" s="84" t="str">
        <x:v>zstd-frame</x:v>
      </x:c>
      <x:c r="C20" s="84" t="str">
        <x:v>PASS</x:v>
      </x:c>
      <x:c r="D20" s="71" t="n">
        <x:v>3.7213134765625</x:v>
      </x:c>
      <x:c r="E20" s="71" t="n">
        <x:v>0.72808837890625</x:v>
      </x:c>
      <x:c r="F20" s="72" t="n">
        <x:v>0.19565360013121208</x:v>
      </x:c>
      <x:c r="G20" s="73" t="n">
        <x:v>5.111073853634001</x:v>
      </x:c>
      <x:c r="H20" s="74" t="n">
        <x:v>0.8043463998687879</x:v>
      </x:c>
      <x:c r="I20" s="71" t="n">
        <x:v>159.94637465715726</x:v>
      </x:c>
      <x:c r="J20" s="71" t="n">
        <x:v>1009.2138011942592</x:v>
      </x:c>
      <x:c r="K20" s="75" t="n">
        <x:v>0.02439617658333333</x:v>
      </x:c>
      <x:c r="L20" s="75" t="n">
        <x:v>0.0038664552500000003</x:v>
      </x:c>
      <x:c r="M20" s="76" t="n">
        <x:v>10</x:v>
      </x:c>
      <x:c r="N20" s="76" t="n">
        <x:v>10</x:v>
      </x:c>
      <x:c r="O20" s="87" t="str"/>
      <x:c r="P20" s="87" t="str">
        <x:v>正式：10/10 PASS</x:v>
      </x:c>
    </x:row>
    <x:row r="21" ht="20" customHeight="1">
      <x:c r="A21" s="84" t="str">
        <x:v>ettm2</x:v>
      </x:c>
      <x:c r="B21" s="84" t="str">
        <x:v>snappy-raw</x:v>
      </x:c>
      <x:c r="C21" s="84" t="str">
        <x:v>PASS</x:v>
      </x:c>
      <x:c r="D21" s="71" t="n">
        <x:v>3.7213134765625</x:v>
      </x:c>
      <x:c r="E21" s="71" t="n">
        <x:v>1.119222640991211</x:v>
      </x:c>
      <x:c r="F21" s="72" t="n">
        <x:v>0.30076010742988357</x:v>
      </x:c>
      <x:c r="G21" s="73" t="n">
        <x:v>3.3249090397839107</x:v>
      </x:c>
      <x:c r="H21" s="74" t="n">
        <x:v>0.6992398925701164</x:v>
      </x:c>
      <x:c r="I21" s="71" t="n">
        <x:v>32.16049808460968</x:v>
      </x:c>
      <x:c r="J21" s="71" t="n">
        <x:v>638.5152582811426</x:v>
      </x:c>
      <x:c r="K21" s="75" t="n">
        <x:v>0.12133145418749999</x:v>
      </x:c>
      <x:c r="L21" s="75" t="n">
        <x:v>0.006111177375</x:v>
      </x:c>
      <x:c r="M21" s="76" t="n">
        <x:v>10</x:v>
      </x:c>
      <x:c r="N21" s="76" t="n">
        <x:v>10</x:v>
      </x:c>
      <x:c r="O21" s="87" t="str"/>
      <x:c r="P21" s="87" t="str">
        <x:v>正式：10/10 PASS</x:v>
      </x:c>
    </x:row>
    <x:row r="22" ht="20" customHeight="1">
      <x:c r="A22" s="84" t="str">
        <x:v>exchange_rate</x:v>
      </x:c>
      <x:c r="B22" s="84" t="str">
        <x:v>lz4-frame</x:v>
      </x:c>
      <x:c r="C22" s="84" t="str">
        <x:v>PASS</x:v>
      </x:c>
      <x:c r="D22" s="71" t="n">
        <x:v>0.463134765625</x:v>
      </x:c>
      <x:c r="E22" s="71" t="n">
        <x:v>0.32651424407958984</x:v>
      </x:c>
      <x:c r="F22" s="72" t="n">
        <x:v>0.7050091427253559</x:v>
      </x:c>
      <x:c r="G22" s="73" t="n">
        <x:v>1.4184213216502373</x:v>
      </x:c>
      <x:c r="H22" s="74" t="n">
        <x:v>0.29499085727464414</x:v>
      </x:c>
      <x:c r="I22" s="71" t="n">
        <x:v>152.77845785841427</x:v>
      </x:c>
      <x:c r="J22" s="71" t="n">
        <x:v>1317.3358454172028</x:v>
      </x:c>
      <x:c r="K22" s="75" t="n">
        <x:v>0.0031786680321780315</x:v>
      </x:c>
      <x:c r="L22" s="75" t="n">
        <x:v>0.0003686470702892013</x:v>
      </x:c>
      <x:c r="M22" s="76" t="n">
        <x:v>10</x:v>
      </x:c>
      <x:c r="N22" s="76" t="n">
        <x:v>10</x:v>
      </x:c>
      <x:c r="O22" s="87" t="str"/>
      <x:c r="P22" s="87" t="str">
        <x:v>正式：10/10 PASS</x:v>
      </x:c>
    </x:row>
    <x:row r="23" ht="20" customHeight="1">
      <x:c r="A23" s="84" t="str">
        <x:v>exchange_rate</x:v>
      </x:c>
      <x:c r="B23" s="84" t="str">
        <x:v>zstd-frame</x:v>
      </x:c>
      <x:c r="C23" s="84" t="str">
        <x:v>PASS</x:v>
      </x:c>
      <x:c r="D23" s="71" t="n">
        <x:v>0.463134765625</x:v>
      </x:c>
      <x:c r="E23" s="71" t="n">
        <x:v>0.2936725616455078</x:v>
      </x:c>
      <x:c r="F23" s="72" t="n">
        <x:v>0.6340974235635214</x:v>
      </x:c>
      <x:c r="G23" s="73" t="n">
        <x:v>1.5770447297832682</x:v>
      </x:c>
      <x:c r="H23" s="74" t="n">
        <x:v>0.3659025764364786</x:v>
      </x:c>
      <x:c r="I23" s="71" t="n">
        <x:v>132.06229799137665</x:v>
      </x:c>
      <x:c r="J23" s="71" t="n">
        <x:v>680.1384818096053</x:v>
      </x:c>
      <x:c r="K23" s="75" t="n">
        <x:v>0.003677294787280702</x:v>
      </x:c>
      <x:c r="L23" s="75" t="n">
        <x:v>0.0007140192960526316</x:v>
      </x:c>
      <x:c r="M23" s="76" t="n">
        <x:v>10</x:v>
      </x:c>
      <x:c r="N23" s="76" t="n">
        <x:v>10</x:v>
      </x:c>
      <x:c r="O23" s="87" t="str"/>
      <x:c r="P23" s="87" t="str">
        <x:v>正式：10/10 PASS</x:v>
      </x:c>
    </x:row>
    <x:row r="24" ht="20" customHeight="1">
      <x:c r="A24" s="84" t="str">
        <x:v>exchange_rate</x:v>
      </x:c>
      <x:c r="B24" s="84" t="str">
        <x:v>snappy-raw</x:v>
      </x:c>
      <x:c r="C24" s="84" t="str">
        <x:v>PASS</x:v>
      </x:c>
      <x:c r="D24" s="71" t="n">
        <x:v>0.463134765625</x:v>
      </x:c>
      <x:c r="E24" s="71" t="n">
        <x:v>0.3303518295288086</x:v>
      </x:c>
      <x:c r="F24" s="72" t="n">
        <x:v>0.7132952523721666</x:v>
      </x:c>
      <x:c r="G24" s="73" t="n">
        <x:v>1.4019440009930744</x:v>
      </x:c>
      <x:c r="H24" s="74" t="n">
        <x:v>0.2867047476278334</x:v>
      </x:c>
      <x:c r="I24" s="71" t="n">
        <x:v>35.969926863644524</x:v>
      </x:c>
      <x:c r="J24" s="71" t="n">
        <x:v>493.1533170949494</x:v>
      </x:c>
      <x:c r="K24" s="75" t="n">
        <x:v>0.013501056086128364</x:v>
      </x:c>
      <x:c r="L24" s="75" t="n">
        <x:v>0.0009847485217391303</x:v>
      </x:c>
      <x:c r="M24" s="76" t="n">
        <x:v>10</x:v>
      </x:c>
      <x:c r="N24" s="76" t="n">
        <x:v>10</x:v>
      </x:c>
      <x:c r="O24" s="87" t="str"/>
      <x:c r="P24" s="87" t="str">
        <x:v>正式：10/10 PASS</x:v>
      </x:c>
    </x:row>
    <x:row r="25" ht="20" customHeight="1">
      <x:c r="A25" s="84" t="str">
        <x:v>national_illness</x:v>
      </x:c>
      <x:c r="B25" s="84" t="str">
        <x:v>lz4-frame</x:v>
      </x:c>
      <x:c r="C25" s="84" t="str">
        <x:v>PASS</x:v>
      </x:c>
      <x:c r="D25" s="71" t="n">
        <x:v>0.0515899658203125</x:v>
      </x:c>
      <x:c r="E25" s="71" t="n">
        <x:v>0.03345489501953125</x:v>
      </x:c>
      <x:c r="F25" s="72" t="n">
        <x:v>0.6484767820171546</x:v>
      </x:c>
      <x:c r="G25" s="73" t="n">
        <x:v>1.5420752565564424</x:v>
      </x:c>
      <x:c r="H25" s="74" t="n">
        <x:v>0.35152321798284536</x:v>
      </x:c>
      <x:c r="I25" s="71" t="n">
        <x:v>80.2819035340468</x:v>
      </x:c>
      <x:c r="J25" s="71" t="n">
        <x:v>341.69050391136943</x:v>
      </x:c>
      <x:c r="K25" s="75" t="n">
        <x:v>0.0006738255773551556</x:v>
      </x:c>
      <x:c r="L25" s="75" t="n">
        <x:v>0.00015831871058972092</x:v>
      </x:c>
      <x:c r="M25" s="76" t="n">
        <x:v>10</x:v>
      </x:c>
      <x:c r="N25" s="76" t="n">
        <x:v>10</x:v>
      </x:c>
      <x:c r="O25" s="87" t="str"/>
      <x:c r="P25" s="87" t="str">
        <x:v>正式：10/10 PASS</x:v>
      </x:c>
    </x:row>
    <x:row r="26" ht="20" customHeight="1">
      <x:c r="A26" s="84" t="str">
        <x:v>national_illness</x:v>
      </x:c>
      <x:c r="B26" s="84" t="str">
        <x:v>zstd-frame</x:v>
      </x:c>
      <x:c r="C26" s="84" t="str">
        <x:v>PASS</x:v>
      </x:c>
      <x:c r="D26" s="71" t="n">
        <x:v>0.0515899658203125</x:v>
      </x:c>
      <x:c r="E26" s="71" t="n">
        <x:v>0.025659561157226562</x:v>
      </x:c>
      <x:c r="F26" s="72" t="n">
        <x:v>0.49737503697131025</x:v>
      </x:c>
      <x:c r="G26" s="73" t="n">
        <x:v>2.0105552664833124</x:v>
      </x:c>
      <x:c r="H26" s="74" t="n">
        <x:v>0.5026249630286898</x:v>
      </x:c>
      <x:c r="I26" s="71" t="n">
        <x:v>76.3561205972723</x:v>
      </x:c>
      <x:c r="J26" s="71" t="n">
        <x:v>274.33570661061043</x:v>
      </x:c>
      <x:c r="K26" s="75" t="n">
        <x:v>0.000708469728121998</x:v>
      </x:c>
      <x:c r="L26" s="75" t="n">
        <x:v>0.00019718905959545163</x:v>
      </x:c>
      <x:c r="M26" s="76" t="n">
        <x:v>10</x:v>
      </x:c>
      <x:c r="N26" s="76" t="n">
        <x:v>10</x:v>
      </x:c>
      <x:c r="O26" s="87" t="str"/>
      <x:c r="P26" s="87" t="str">
        <x:v>正式：10/10 PASS</x:v>
      </x:c>
    </x:row>
    <x:row r="27" ht="20" customHeight="1">
      <x:c r="A27" s="84" t="str">
        <x:v>national_illness</x:v>
      </x:c>
      <x:c r="B27" s="84" t="str">
        <x:v>snappy-raw</x:v>
      </x:c>
      <x:c r="C27" s="84" t="str">
        <x:v>PASS</x:v>
      </x:c>
      <x:c r="D27" s="71" t="n">
        <x:v>0.0515899658203125</x:v>
      </x:c>
      <x:c r="E27" s="71" t="n">
        <x:v>0.03504371643066406</x:v>
      </x:c>
      <x:c r="F27" s="72" t="n">
        <x:v>0.67927388346643</x:v>
      </x:c>
      <x:c r="G27" s="73" t="n">
        <x:v>1.4721602351276328</x:v>
      </x:c>
      <x:c r="H27" s="74" t="n">
        <x:v>0.32072611653356997</x:v>
      </x:c>
      <x:c r="I27" s="71" t="n">
        <x:v>25.918539226495636</x:v>
      </x:c>
      <x:c r="J27" s="71" t="n">
        <x:v>240.72615916513388</x:v>
      </x:c>
      <x:c r="K27" s="75" t="n">
        <x:v>0.002087154662817552</x:v>
      </x:c>
      <x:c r="L27" s="75" t="n">
        <x:v>0.0002247200727482679</x:v>
      </x:c>
      <x:c r="M27" s="76" t="n">
        <x:v>10</x:v>
      </x:c>
      <x:c r="N27" s="76" t="n">
        <x:v>10</x:v>
      </x:c>
      <x:c r="O27" s="87" t="str"/>
      <x:c r="P27" s="87" t="str">
        <x:v>正式：10/10 PASS</x:v>
      </x:c>
    </x:row>
    <x:row r="28" ht="20" customHeight="1">
      <x:c r="A28" s="84" t="str">
        <x:v>pems03</x:v>
      </x:c>
      <x:c r="B28" s="84" t="str">
        <x:v>lz4-frame</x:v>
      </x:c>
      <x:c r="C28" s="84" t="str">
        <x:v>PARTIAL_PASS</x:v>
      </x:c>
      <x:c r="D28" s="71" t="n">
        <x:v>71.58251953125</x:v>
      </x:c>
      <x:c r="E28" s="71" t="n">
        <x:v>27.350967407226562</x:v>
      </x:c>
      <x:c r="F28" s="72" t="n">
        <x:v>0.3820900351975771</x:v>
      </x:c>
      <x:c r="G28" s="73" t="n">
        <x:v>2.6171841918957774</x:v>
      </x:c>
      <x:c r="H28" s="74" t="n">
        <x:v>0.6179099648024229</x:v>
      </x:c>
      <x:c r="I28" s="71" t="n">
        <x:v>119.17072565194825</x:v>
      </x:c>
      <x:c r="J28" s="71" t="n">
        <x:v>1100.8441414088563</x:v>
      </x:c>
      <x:c r="K28" s="75" t="n">
        <x:v>0.6298502555</x:v>
      </x:c>
      <x:c r="L28" s="75" t="n">
        <x:v>0.0681837775</x:v>
      </x:c>
      <x:c r="M28" s="76" t="n">
        <x:v>9</x:v>
      </x:c>
      <x:c r="N28" s="76" t="n">
        <x:v>10</x:v>
      </x:c>
      <x:c r="O28" s="87" t="str">
        <x:v>RESOURCE_PRESSURE x1</x:v>
      </x:c>
      <x:c r="P28" s="87" t="str">
        <x:v>参考：速度仅基于 PASS 重复，未进入正式汇总</x:v>
      </x:c>
    </x:row>
    <x:row r="29" ht="20" customHeight="1">
      <x:c r="A29" s="84" t="str">
        <x:v>pems03</x:v>
      </x:c>
      <x:c r="B29" s="84" t="str">
        <x:v>zstd-frame</x:v>
      </x:c>
      <x:c r="C29" s="84" t="str">
        <x:v>PARTIAL_PASS</x:v>
      </x:c>
      <x:c r="D29" s="71" t="n">
        <x:v>71.58251953125</x:v>
      </x:c>
      <x:c r="E29" s="71" t="n">
        <x:v>13.183719635009766</x:v>
      </x:c>
      <x:c r="F29" s="72" t="n">
        <x:v>0.18417512713078354</x:v>
      </x:c>
      <x:c r="G29" s="73" t="n">
        <x:v>5.429614821386254</x:v>
      </x:c>
      <x:c r="H29" s="74" t="n">
        <x:v>0.8158248728692165</x:v>
      </x:c>
      <x:c r="I29" s="71" t="n">
        <x:v>106.54909347847398</x:v>
      </x:c>
      <x:c r="J29" s="71" t="n">
        <x:v>675.2643034298566</x:v>
      </x:c>
      <x:c r="K29" s="75" t="n">
        <x:v>0.7044612915</x:v>
      </x:c>
      <x:c r="L29" s="75" t="n">
        <x:v>0.111156049</x:v>
      </x:c>
      <x:c r="M29" s="76" t="n">
        <x:v>7</x:v>
      </x:c>
      <x:c r="N29" s="76" t="n">
        <x:v>10</x:v>
      </x:c>
      <x:c r="O29" s="87" t="str">
        <x:v>RESOURCE_PRESSURE x3</x:v>
      </x:c>
      <x:c r="P29" s="87" t="str">
        <x:v>参考：速度仅基于 PASS 重复，未进入正式汇总</x:v>
      </x:c>
    </x:row>
    <x:row r="30" ht="20" customHeight="1">
      <x:c r="A30" s="84" t="str">
        <x:v>pems03</x:v>
      </x:c>
      <x:c r="B30" s="84" t="str">
        <x:v>snappy-raw</x:v>
      </x:c>
      <x:c r="C30" s="84" t="str">
        <x:v>PASS</x:v>
      </x:c>
      <x:c r="D30" s="71" t="n">
        <x:v>71.58251953125</x:v>
      </x:c>
      <x:c r="E30" s="71" t="n">
        <x:v>22.600049018859863</x:v>
      </x:c>
      <x:c r="F30" s="72" t="n">
        <x:v>0.31572022285403917</x:v>
      </x:c>
      <x:c r="G30" s="73" t="n">
        <x:v>3.167361250920916</x:v>
      </x:c>
      <x:c r="H30" s="74" t="n">
        <x:v>0.6842797771459608</x:v>
      </x:c>
      <x:c r="I30" s="71" t="n">
        <x:v>27.339375705298774</x:v>
      </x:c>
      <x:c r="J30" s="71" t="n">
        <x:v>561.0454701628973</x:v>
      </x:c>
      <x:c r="K30" s="75" t="n">
        <x:v>2.745480102</x:v>
      </x:c>
      <x:c r="L30" s="75" t="n">
        <x:v>0.1337854345</x:v>
      </x:c>
      <x:c r="M30" s="76" t="n">
        <x:v>10</x:v>
      </x:c>
      <x:c r="N30" s="76" t="n">
        <x:v>10</x:v>
      </x:c>
      <x:c r="O30" s="87" t="str"/>
      <x:c r="P30" s="87" t="str">
        <x:v>正式：10/10 PASS</x:v>
      </x:c>
    </x:row>
    <x:row r="31" ht="20" customHeight="1">
      <x:c r="A31" s="84" t="str">
        <x:v>pems04</x:v>
      </x:c>
      <x:c r="B31" s="84" t="str">
        <x:v>lz4-frame</x:v>
      </x:c>
      <x:c r="C31" s="84" t="str">
        <x:v>PARTIAL_PASS</x:v>
      </x:c>
      <x:c r="D31" s="71" t="n">
        <x:v>119.397216796875</x:v>
      </x:c>
      <x:c r="E31" s="71" t="n">
        <x:v>52.70667266845703</x:v>
      </x:c>
      <x:c r="F31" s="72" t="n">
        <x:v>0.4414397092532272</x:v>
      </x:c>
      <x:c r="G31" s="73" t="n">
        <x:v>2.2653150114013885</x:v>
      </x:c>
      <x:c r="H31" s="74" t="n">
        <x:v>0.5585602907467728</x:v>
      </x:c>
      <x:c r="I31" s="71" t="n">
        <x:v>111.05640927035317</x:v>
      </x:c>
      <x:c r="J31" s="71" t="n">
        <x:v>966.9556790347004</x:v>
      </x:c>
      <x:c r="K31" s="75" t="n">
        <x:v>1.1273285065</x:v>
      </x:c>
      <x:c r="L31" s="75" t="n">
        <x:v>0.1294754855</x:v>
      </x:c>
      <x:c r="M31" s="76" t="n">
        <x:v>8</x:v>
      </x:c>
      <x:c r="N31" s="76" t="n">
        <x:v>10</x:v>
      </x:c>
      <x:c r="O31" s="87" t="str">
        <x:v>RESOURCE_PRESSURE x2</x:v>
      </x:c>
      <x:c r="P31" s="87" t="str">
        <x:v>参考：速度仅基于 PASS 重复，未进入正式汇总</x:v>
      </x:c>
    </x:row>
    <x:row r="32" ht="20" customHeight="1">
      <x:c r="A32" s="84" t="str">
        <x:v>pems04</x:v>
      </x:c>
      <x:c r="B32" s="84" t="str">
        <x:v>zstd-frame</x:v>
      </x:c>
      <x:c r="C32" s="84" t="str">
        <x:v>PASS</x:v>
      </x:c>
      <x:c r="D32" s="71" t="n">
        <x:v>119.397216796875</x:v>
      </x:c>
      <x:c r="E32" s="71" t="n">
        <x:v>32.9506139755249</x:v>
      </x:c>
      <x:c r="F32" s="72" t="n">
        <x:v>0.2759747241979875</x:v>
      </x:c>
      <x:c r="G32" s="73" t="n">
        <x:v>3.623520244131445</x:v>
      </x:c>
      <x:c r="H32" s="74" t="n">
        <x:v>0.7240252758020125</x:v>
      </x:c>
      <x:c r="I32" s="71" t="n">
        <x:v>101.43473493213955</x:v>
      </x:c>
      <x:c r="J32" s="71" t="n">
        <x:v>628.1034662948181</x:v>
      </x:c>
      <x:c r="K32" s="75" t="n">
        <x:v>1.2342621695</x:v>
      </x:c>
      <x:c r="L32" s="75" t="n">
        <x:v>0.1993255295</x:v>
      </x:c>
      <x:c r="M32" s="76" t="n">
        <x:v>10</x:v>
      </x:c>
      <x:c r="N32" s="76" t="n">
        <x:v>10</x:v>
      </x:c>
      <x:c r="O32" s="87" t="str"/>
      <x:c r="P32" s="87" t="str">
        <x:v>正式：10/10 PASS</x:v>
      </x:c>
    </x:row>
    <x:row r="33" ht="20" customHeight="1">
      <x:c r="A33" s="84" t="str">
        <x:v>pems04</x:v>
      </x:c>
      <x:c r="B33" s="84" t="str">
        <x:v>snappy-raw</x:v>
      </x:c>
      <x:c r="C33" s="84" t="str">
        <x:v>PASS</x:v>
      </x:c>
      <x:c r="D33" s="71" t="n">
        <x:v>119.397216796875</x:v>
      </x:c>
      <x:c r="E33" s="71" t="n">
        <x:v>51.23957061767578</x:v>
      </x:c>
      <x:c r="F33" s="72" t="n">
        <x:v>0.4291521359735488</x:v>
      </x:c>
      <x:c r="G33" s="73" t="n">
        <x:v>2.3301759823039445</x:v>
      </x:c>
      <x:c r="H33" s="74" t="n">
        <x:v>0.5708478640264512</x:v>
      </x:c>
      <x:c r="I33" s="71" t="n">
        <x:v>24.66090956978796</x:v>
      </x:c>
      <x:c r="J33" s="71" t="n">
        <x:v>398.04894899181477</x:v>
      </x:c>
      <x:c r="K33" s="75" t="n">
        <x:v>5.0767412145</x:v>
      </x:c>
      <x:c r="L33" s="75" t="n">
        <x:v>0.3145267845</x:v>
      </x:c>
      <x:c r="M33" s="76" t="n">
        <x:v>10</x:v>
      </x:c>
      <x:c r="N33" s="76" t="n">
        <x:v>10</x:v>
      </x:c>
      <x:c r="O33" s="87" t="str"/>
      <x:c r="P33" s="87" t="str">
        <x:v>正式：10/10 PASS</x:v>
      </x:c>
    </x:row>
    <x:row r="34" ht="20" customHeight="1">
      <x:c r="A34" s="84" t="str">
        <x:v>pems07</x:v>
      </x:c>
      <x:c r="B34" s="84" t="str">
        <x:v>lz4-frame</x:v>
      </x:c>
      <x:c r="C34" s="84" t="str">
        <x:v>PARTIAL_PASS</x:v>
      </x:c>
      <x:c r="D34" s="71" t="n">
        <x:v>190.13818359375</x:v>
      </x:c>
      <x:c r="E34" s="71" t="n">
        <x:v>73.44073104858398</x:v>
      </x:c>
      <x:c r="F34" s="72" t="n">
        <x:v>0.3862492512576945</x:v>
      </x:c>
      <x:c r="G34" s="73" t="n">
        <x:v>2.5890017825117506</x:v>
      </x:c>
      <x:c r="H34" s="74" t="n">
        <x:v>0.6137507487423055</x:v>
      </x:c>
      <x:c r="I34" s="71" t="n">
        <x:v>115.0552763138429</x:v>
      </x:c>
      <x:c r="J34" s="71" t="n">
        <x:v>949.1845847644366</x:v>
      </x:c>
      <x:c r="K34" s="75" t="n">
        <x:v>1.732856957</x:v>
      </x:c>
      <x:c r="L34" s="75" t="n">
        <x:v>0.210048013</x:v>
      </x:c>
      <x:c r="M34" s="76" t="n">
        <x:v>9</x:v>
      </x:c>
      <x:c r="N34" s="76" t="n">
        <x:v>10</x:v>
      </x:c>
      <x:c r="O34" s="87" t="str">
        <x:v>RESOURCE_PRESSURE x1</x:v>
      </x:c>
      <x:c r="P34" s="87" t="str">
        <x:v>参考：速度仅基于 PASS 重复，未进入正式汇总</x:v>
      </x:c>
    </x:row>
    <x:row r="35" ht="20" customHeight="1">
      <x:c r="A35" s="84" t="str">
        <x:v>pems07</x:v>
      </x:c>
      <x:c r="B35" s="84" t="str">
        <x:v>zstd-frame</x:v>
      </x:c>
      <x:c r="C35" s="84" t="str">
        <x:v>PASS</x:v>
      </x:c>
      <x:c r="D35" s="71" t="n">
        <x:v>190.13818359375</x:v>
      </x:c>
      <x:c r="E35" s="71" t="n">
        <x:v>35.56195831298828</x:v>
      </x:c>
      <x:c r="F35" s="72" t="n">
        <x:v>0.1870321764983834</x:v>
      </x:c>
      <x:c r="G35" s="73" t="n">
        <x:v>5.346673597677153</x:v>
      </x:c>
      <x:c r="H35" s="74" t="n">
        <x:v>0.8129678235016166</x:v>
      </x:c>
      <x:c r="I35" s="71" t="n">
        <x:v>104.90114349019954</x:v>
      </x:c>
      <x:c r="J35" s="71" t="n">
        <x:v>663.484824120561</x:v>
      </x:c>
      <x:c r="K35" s="75" t="n">
        <x:v>1.90059259</x:v>
      </x:c>
      <x:c r="L35" s="75" t="n">
        <x:v>0.30049569899999995</x:v>
      </x:c>
      <x:c r="M35" s="76" t="n">
        <x:v>10</x:v>
      </x:c>
      <x:c r="N35" s="76" t="n">
        <x:v>10</x:v>
      </x:c>
      <x:c r="O35" s="87" t="str"/>
      <x:c r="P35" s="87" t="str">
        <x:v>正式：10/10 PASS</x:v>
      </x:c>
    </x:row>
    <x:row r="36" ht="20" customHeight="1">
      <x:c r="A36" s="84" t="str">
        <x:v>pems07</x:v>
      </x:c>
      <x:c r="B36" s="84" t="str">
        <x:v>snappy-raw</x:v>
      </x:c>
      <x:c r="C36" s="84" t="str">
        <x:v>PARTIAL_PASS</x:v>
      </x:c>
      <x:c r="D36" s="71" t="n">
        <x:v>190.13818359375</x:v>
      </x:c>
      <x:c r="E36" s="71" t="n">
        <x:v>61.77994346618652</x:v>
      </x:c>
      <x:c r="F36" s="72" t="n">
        <x:v>0.32492128776293455</x:v>
      </x:c>
      <x:c r="G36" s="73" t="n">
        <x:v>3.077668462060291</x:v>
      </x:c>
      <x:c r="H36" s="74" t="n">
        <x:v>0.6750787122370654</x:v>
      </x:c>
      <x:c r="I36" s="71" t="n">
        <x:v>26.921964639604486</x:v>
      </x:c>
      <x:c r="J36" s="71" t="n">
        <x:v>512.3477826532392</x:v>
      </x:c>
      <x:c r="K36" s="75" t="n">
        <x:v>7.405638432</x:v>
      </x:c>
      <x:c r="L36" s="75" t="n">
        <x:v>0.3891386725</x:v>
      </x:c>
      <x:c r="M36" s="76" t="n">
        <x:v>4</x:v>
      </x:c>
      <x:c r="N36" s="76" t="n">
        <x:v>10</x:v>
      </x:c>
      <x:c r="O36" s="87" t="str">
        <x:v>RESOURCE_PRESSURE x6</x:v>
      </x:c>
      <x:c r="P36" s="87" t="str">
        <x:v>参考：速度仅基于 PASS 重复，未进入正式汇总</x:v>
      </x:c>
    </x:row>
    <x:row r="37" ht="20" customHeight="1">
      <x:c r="A37" s="84" t="str">
        <x:v>pems08</x:v>
      </x:c>
      <x:c r="B37" s="84" t="str">
        <x:v>lz4-frame</x:v>
      </x:c>
      <x:c r="C37" s="84" t="str">
        <x:v>PASS</x:v>
      </x:c>
      <x:c r="D37" s="71" t="n">
        <x:v>69.4775390625</x:v>
      </x:c>
      <x:c r="E37" s="71" t="n">
        <x:v>29.25126552581787</x:v>
      </x:c>
      <x:c r="F37" s="72" t="n">
        <x:v>0.4210175823801743</x:v>
      </x:c>
      <x:c r="G37" s="73" t="n">
        <x:v>2.3751977158450615</x:v>
      </x:c>
      <x:c r="H37" s="74" t="n">
        <x:v>0.5789824176198257</x:v>
      </x:c>
      <x:c r="I37" s="71" t="n">
        <x:v>112.39811208240062</x:v>
      </x:c>
      <x:c r="J37" s="71" t="n">
        <x:v>1024.268894879709</x:v>
      </x:c>
      <x:c r="K37" s="75" t="n">
        <x:v>0.6481646235</x:v>
      </x:c>
      <x:c r="L37" s="75" t="n">
        <x:v>0.07112632275</x:v>
      </x:c>
      <x:c r="M37" s="76" t="n">
        <x:v>10</x:v>
      </x:c>
      <x:c r="N37" s="76" t="n">
        <x:v>10</x:v>
      </x:c>
      <x:c r="O37" s="87" t="str"/>
      <x:c r="P37" s="87" t="str">
        <x:v>正式：10/10 PASS</x:v>
      </x:c>
    </x:row>
    <x:row r="38" ht="20" customHeight="1">
      <x:c r="A38" s="84" t="str">
        <x:v>pems08</x:v>
      </x:c>
      <x:c r="B38" s="84" t="str">
        <x:v>zstd-frame</x:v>
      </x:c>
      <x:c r="C38" s="84" t="str">
        <x:v>PASS</x:v>
      </x:c>
      <x:c r="D38" s="71" t="n">
        <x:v>69.4775390625</x:v>
      </x:c>
      <x:c r="E38" s="71" t="n">
        <x:v>18.21090793609619</x:v>
      </x:c>
      <x:c r="F38" s="72" t="n">
        <x:v>0.2621121614528428</x:v>
      </x:c>
      <x:c r="G38" s="73" t="n">
        <x:v>3.8151606337423316</x:v>
      </x:c>
      <x:c r="H38" s="74" t="n">
        <x:v>0.7378878385471572</x:v>
      </x:c>
      <x:c r="I38" s="71" t="n">
        <x:v>104.80412000476471</x:v>
      </x:c>
      <x:c r="J38" s="71" t="n">
        <x:v>664.9070032576323</x:v>
      </x:c>
      <x:c r="K38" s="75" t="n">
        <x:v>0.69512992425</x:v>
      </x:c>
      <x:c r="L38" s="75" t="n">
        <x:v>0.109567924</x:v>
      </x:c>
      <x:c r="M38" s="76" t="n">
        <x:v>10</x:v>
      </x:c>
      <x:c r="N38" s="76" t="n">
        <x:v>10</x:v>
      </x:c>
      <x:c r="O38" s="87" t="str"/>
      <x:c r="P38" s="87" t="str">
        <x:v>正式：10/10 PASS</x:v>
      </x:c>
    </x:row>
    <x:row r="39" ht="20" customHeight="1">
      <x:c r="A39" s="84" t="str">
        <x:v>pems08</x:v>
      </x:c>
      <x:c r="B39" s="84" t="str">
        <x:v>snappy-raw</x:v>
      </x:c>
      <x:c r="C39" s="84" t="str">
        <x:v>PASS</x:v>
      </x:c>
      <x:c r="D39" s="71" t="n">
        <x:v>69.4775390625</x:v>
      </x:c>
      <x:c r="E39" s="71" t="n">
        <x:v>28.38970375061035</x:v>
      </x:c>
      <x:c r="F39" s="72" t="n">
        <x:v>0.40861700246855015</x:v>
      </x:c>
      <x:c r="G39" s="73" t="n">
        <x:v>2.4472794669795137</x:v>
      </x:c>
      <x:c r="H39" s="74" t="n">
        <x:v>0.5913829975314498</x:v>
      </x:c>
      <x:c r="I39" s="71" t="n">
        <x:v>26.108331681141635</x:v>
      </x:c>
      <x:c r="J39" s="71" t="n">
        <x:v>436.1887988374123</x:v>
      </x:c>
      <x:c r="K39" s="75" t="n">
        <x:v>2.7903920055</x:v>
      </x:c>
      <x:c r="L39" s="75" t="n">
        <x:v>0.16702052</x:v>
      </x:c>
      <x:c r="M39" s="76" t="n">
        <x:v>10</x:v>
      </x:c>
      <x:c r="N39" s="76" t="n">
        <x:v>10</x:v>
      </x:c>
      <x:c r="O39" s="87" t="str"/>
      <x:c r="P39" s="87" t="str">
        <x:v>正式：10/10 PASS</x:v>
      </x:c>
    </x:row>
    <x:row r="40" ht="20" customHeight="1">
      <x:c r="A40" s="84" t="str">
        <x:v>traffic</x:v>
      </x:c>
      <x:c r="B40" s="84" t="str">
        <x:v>lz4-frame</x:v>
      </x:c>
      <x:c r="C40" s="84" t="str">
        <x:v>PARTIAL_PASS</x:v>
      </x:c>
      <x:c r="D40" s="71" t="n">
        <x:v>115.3787841796875</x:v>
      </x:c>
      <x:c r="E40" s="71" t="n">
        <x:v>50.95021057128906</x:v>
      </x:c>
      <x:c r="F40" s="72" t="n">
        <x:v>0.44159080834081865</x:v>
      </x:c>
      <x:c r="G40" s="73" t="n">
        <x:v>2.2645398887655346</x:v>
      </x:c>
      <x:c r="H40" s="74" t="n">
        <x:v>0.5584091916591813</x:v>
      </x:c>
      <x:c r="I40" s="71" t="n">
        <x:v>140.7755575605905</x:v>
      </x:c>
      <x:c r="J40" s="71" t="n">
        <x:v>787.0716682668908</x:v>
      </x:c>
      <x:c r="K40" s="75" t="n">
        <x:v>0.859406463</x:v>
      </x:c>
      <x:c r="L40" s="75" t="n">
        <x:v>0.1537133515</x:v>
      </x:c>
      <x:c r="M40" s="76" t="n">
        <x:v>6</x:v>
      </x:c>
      <x:c r="N40" s="76" t="n">
        <x:v>10</x:v>
      </x:c>
      <x:c r="O40" s="87" t="str">
        <x:v>RESOURCE_PRESSURE x4</x:v>
      </x:c>
      <x:c r="P40" s="87" t="str">
        <x:v>参考：速度仅基于 PASS 重复，未进入正式汇总</x:v>
      </x:c>
    </x:row>
    <x:row r="41" ht="20" customHeight="1">
      <x:c r="A41" s="84" t="str">
        <x:v>traffic</x:v>
      </x:c>
      <x:c r="B41" s="84" t="str">
        <x:v>zstd-frame</x:v>
      </x:c>
      <x:c r="C41" s="84" t="str">
        <x:v>PARTIAL_PASS</x:v>
      </x:c>
      <x:c r="D41" s="71" t="n">
        <x:v>115.3787841796875</x:v>
      </x:c>
      <x:c r="E41" s="71" t="n">
        <x:v>33.11703968048096</x:v>
      </x:c>
      <x:c r="F41" s="72" t="n">
        <x:v>0.2870288495058629</x:v>
      </x:c>
      <x:c r="G41" s="73" t="n">
        <x:v>3.4839703455647717</x:v>
      </x:c>
      <x:c r="H41" s="74" t="n">
        <x:v>0.7129711504941372</x:v>
      </x:c>
      <x:c r="I41" s="71" t="n">
        <x:v>127.62042556196805</x:v>
      </x:c>
      <x:c r="J41" s="71" t="n">
        <x:v>671.0333963503384</x:v>
      </x:c>
      <x:c r="K41" s="75" t="n">
        <x:v>0.947994206</x:v>
      </x:c>
      <x:c r="L41" s="75" t="n">
        <x:v>0.180294192</x:v>
      </x:c>
      <x:c r="M41" s="76" t="n">
        <x:v>4</x:v>
      </x:c>
      <x:c r="N41" s="76" t="n">
        <x:v>10</x:v>
      </x:c>
      <x:c r="O41" s="87" t="str">
        <x:v>OOM x5, RESOURCE_PRESSURE x1</x:v>
      </x:c>
      <x:c r="P41" s="87" t="str">
        <x:v>参考：速度仅基于 PASS 重复，未进入正式汇总</x:v>
      </x:c>
    </x:row>
    <x:row r="42" ht="20" customHeight="1">
      <x:c r="A42" s="84" t="str">
        <x:v>traffic</x:v>
      </x:c>
      <x:c r="B42" s="84" t="str">
        <x:v>snappy-raw</x:v>
      </x:c>
      <x:c r="C42" s="84" t="str">
        <x:v>PARTIAL_PASS</x:v>
      </x:c>
      <x:c r="D42" s="71" t="n">
        <x:v>115.3787841796875</x:v>
      </x:c>
      <x:c r="E42" s="71" t="n">
        <x:v>51.62272930145264</x:v>
      </x:c>
      <x:c r="F42" s="72" t="n">
        <x:v>0.4474195985724458</x:v>
      </x:c>
      <x:c r="G42" s="73" t="n">
        <x:v>2.235038436381952</x:v>
      </x:c>
      <x:c r="H42" s="74" t="n">
        <x:v>0.5525804014275542</x:v>
      </x:c>
      <x:c r="I42" s="71" t="n">
        <x:v>24.566745868293353</x:v>
      </x:c>
      <x:c r="J42" s="71" t="n">
        <x:v>322.3103635692543</x:v>
      </x:c>
      <x:c r="K42" s="75" t="n">
        <x:v>4.924682522</x:v>
      </x:c>
      <x:c r="L42" s="75" t="n">
        <x:v>0.375363121</x:v>
      </x:c>
      <x:c r="M42" s="76" t="n">
        <x:v>7</x:v>
      </x:c>
      <x:c r="N42" s="76" t="n">
        <x:v>10</x:v>
      </x:c>
      <x:c r="O42" s="87" t="str">
        <x:v>RESOURCE_PRESSURE x3</x:v>
      </x:c>
      <x:c r="P42" s="87" t="str">
        <x:v>参考：速度仅基于 PASS 重复，未进入正式汇总</x:v>
      </x:c>
    </x:row>
    <x:row r="43" ht="20" customHeight="1">
      <x:c r="A43" s="84" t="str">
        <x:v>weather</x:v>
      </x:c>
      <x:c r="B43" s="84" t="str">
        <x:v>lz4-frame</x:v>
      </x:c>
      <x:c r="C43" s="84" t="str">
        <x:v>PASS</x:v>
      </x:c>
      <x:c r="D43" s="71" t="n">
        <x:v>8.44281005859375</x:v>
      </x:c>
      <x:c r="E43" s="71" t="n">
        <x:v>3.19327449798584</x:v>
      </x:c>
      <x:c r="F43" s="72" t="n">
        <x:v>0.3782241310445538</x:v>
      </x:c>
      <x:c r="G43" s="73" t="n">
        <x:v>2.643934952638446</x:v>
      </x:c>
      <x:c r="H43" s="74" t="n">
        <x:v>0.6217758689554462</x:v>
      </x:c>
      <x:c r="I43" s="71" t="n">
        <x:v>185.98570750293254</x:v>
      </x:c>
      <x:c r="J43" s="71" t="n">
        <x:v>2042.4598039724435</x:v>
      </x:c>
      <x:c r="K43" s="75" t="n">
        <x:v>0.04760004475</x:v>
      </x:c>
      <x:c r="L43" s="75" t="n">
        <x:v>0.004334444175</x:v>
      </x:c>
      <x:c r="M43" s="76" t="n">
        <x:v>10</x:v>
      </x:c>
      <x:c r="N43" s="76" t="n">
        <x:v>10</x:v>
      </x:c>
      <x:c r="O43" s="87" t="str"/>
      <x:c r="P43" s="87" t="str">
        <x:v>正式：10/10 PASS</x:v>
      </x:c>
    </x:row>
    <x:row r="44" ht="20" customHeight="1">
      <x:c r="A44" s="84" t="str">
        <x:v>weather</x:v>
      </x:c>
      <x:c r="B44" s="84" t="str">
        <x:v>zstd-frame</x:v>
      </x:c>
      <x:c r="C44" s="84" t="str">
        <x:v>PASS</x:v>
      </x:c>
      <x:c r="D44" s="71" t="n">
        <x:v>8.44281005859375</x:v>
      </x:c>
      <x:c r="E44" s="71" t="n">
        <x:v>2.1135644912719727</x:v>
      </x:c>
      <x:c r="F44" s="72" t="n">
        <x:v>0.2503389838932385</x:v>
      </x:c>
      <x:c r="G44" s="73" t="n">
        <x:v>3.9945836019949166</x:v>
      </x:c>
      <x:c r="H44" s="74" t="n">
        <x:v>0.7496610161067615</x:v>
      </x:c>
      <x:c r="I44" s="71" t="n">
        <x:v>153.40115231326052</x:v>
      </x:c>
      <x:c r="J44" s="71" t="n">
        <x:v>994.1688754957097</x:v>
      </x:c>
      <x:c r="K44" s="75" t="n">
        <x:v>0.05771096153125</x:v>
      </x:c>
      <x:c r="L44" s="75" t="n">
        <x:v>0.008904853308333334</x:v>
      </x:c>
      <x:c r="M44" s="76" t="n">
        <x:v>10</x:v>
      </x:c>
      <x:c r="N44" s="76" t="n">
        <x:v>10</x:v>
      </x:c>
      <x:c r="O44" s="87" t="str"/>
      <x:c r="P44" s="87" t="str">
        <x:v>正式：10/10 PASS</x:v>
      </x:c>
    </x:row>
    <x:row r="45" ht="20" customHeight="1">
      <x:c r="A45" s="85" t="str">
        <x:v>weather</x:v>
      </x:c>
      <x:c r="B45" s="85" t="str">
        <x:v>snappy-raw</x:v>
      </x:c>
      <x:c r="C45" s="85" t="str">
        <x:v>PASS</x:v>
      </x:c>
      <x:c r="D45" s="77" t="n">
        <x:v>8.44281005859375</x:v>
      </x:c>
      <x:c r="E45" s="77" t="n">
        <x:v>3.1183128356933594</x:v>
      </x:c>
      <x:c r="F45" s="78" t="n">
        <x:v>0.3693453736436126</x:v>
      </x:c>
      <x:c r="G45" s="79" t="n">
        <x:v>2.707492962846521</x:v>
      </x:c>
      <x:c r="H45" s="80" t="n">
        <x:v>0.6306546263563875</x:v>
      </x:c>
      <x:c r="I45" s="77" t="n">
        <x:v>27.819723803255098</x:v>
      </x:c>
      <x:c r="J45" s="77" t="n">
        <x:v>475.0105809158909</x:v>
      </x:c>
      <x:c r="K45" s="81" t="n">
        <x:v>0.31822487033333335</x:v>
      </x:c>
      <x:c r="L45" s="81" t="n">
        <x:v>0.018637328</x:v>
      </x:c>
      <x:c r="M45" s="82" t="n">
        <x:v>10</x:v>
      </x:c>
      <x:c r="N45" s="82" t="n">
        <x:v>10</x:v>
      </x:c>
      <x:c r="O45" s="88" t="str"/>
      <x:c r="P45" s="88" t="str">
        <x:v>正式：10/10 PASS</x:v>
      </x:c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</x:sheetData>
  <x:mergeCells>
    <x:mergeCell ref="A2:P2"/>
    <x:mergeCell ref="A3:P3"/>
  </x:mergeCells>
  <x:conditionalFormatting sqref="C7:C45">
    <x:cfRule type="containsText" dxfId="0" priority="1" operator="containsText" text="PARTIAL_PASS"/>
    <x:cfRule type="containsText" dxfId="1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e855470ba7be4e88"/>
  </x:tableParts>
</x:worksheet>
</file>